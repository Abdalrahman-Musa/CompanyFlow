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" sheetId="1" state="visible" r:id="rId3"/>
    <sheet name="Deliverables" sheetId="2" state="visible" r:id="rId4"/>
  </sheets>
  <definedNames>
    <definedName function="false" hidden="true" localSheetId="1" name="_xlnm._FilterDatabase" vbProcedure="false">Deliverables!$A$4:$H$29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Type the member's name here.</t>
        </r>
      </text>
    </comment>
  </commentList>
</comments>
</file>

<file path=xl/sharedStrings.xml><?xml version="1.0" encoding="utf-8"?>
<sst xmlns="http://schemas.openxmlformats.org/spreadsheetml/2006/main" count="178" uniqueCount="105">
  <si>
    <t xml:space="preserve">Team Split - 6 members (one owner per area, everyone reviews)</t>
  </si>
  <si>
    <t xml:space="preserve">How to use: type each member's name in the yellow Name cells (column B). Names then fill in automatically on the Deliverables tab.</t>
  </si>
  <si>
    <t xml:space="preserve">Member</t>
  </si>
  <si>
    <t xml:space="preserve">Name</t>
  </si>
  <si>
    <t xml:space="preserve">Area / Role</t>
  </si>
  <si>
    <t xml:space="preserve">n8n Workflows</t>
  </si>
  <si>
    <t xml:space="preserve">Files &amp; Deliverables</t>
  </si>
  <si>
    <t xml:space="preserve">Other Responsibilities</t>
  </si>
  <si>
    <t xml:space="preserve">Items Owned</t>
  </si>
  <si>
    <t xml:space="preserve">Done</t>
  </si>
  <si>
    <t xml:space="preserve">M1</t>
  </si>
  <si>
    <t xml:space="preserve">Team Lead / Platform &amp; Security</t>
  </si>
  <si>
    <t xml:space="preserve">CF-00 (error handler)
CF-01</t>
  </si>
  <si>
    <t xml:space="preserve">docs/ACCESS_CONTROL.md</t>
  </si>
  <si>
    <t xml:space="preserve">Owns the n8n workspace and all credentials
Deployment hardening
Team lead</t>
  </si>
  <si>
    <t xml:space="preserve">M2</t>
  </si>
  <si>
    <t xml:space="preserve">Data &amp; RAG</t>
  </si>
  <si>
    <t xml:space="preserve">CF-02</t>
  </si>
  <si>
    <t xml:space="preserve">database/01_schema.sql
database/02_seed.sql
database/03_eval_seed.sql
knowledge_base/ (handbook, RAG source)</t>
  </si>
  <si>
    <t xml:space="preserve">Supabase setup
Retrieval tuning</t>
  </si>
  <si>
    <t xml:space="preserve">M3</t>
  </si>
  <si>
    <t xml:space="preserve">Screening Engine &amp; Fairness</t>
  </si>
  <si>
    <t xml:space="preserve">CF-03 (screening sub-workflow)</t>
  </si>
  <si>
    <t xml:space="preserve">docs/BIAS_WRITEUP.md
Scoring rubric</t>
  </si>
  <si>
    <t xml:space="preserve">-</t>
  </si>
  <si>
    <t xml:space="preserve">M4</t>
  </si>
  <si>
    <t xml:space="preserve">Conversational Agents &amp; Scheduling</t>
  </si>
  <si>
    <t xml:space="preserve">CF-04 (scheduling sub-workflow)
CF-05 (Careers + Policy assistants)</t>
  </si>
  <si>
    <t xml:space="preserve">M5</t>
  </si>
  <si>
    <t xml:space="preserve">HR Copilot &amp; Dashboard</t>
  </si>
  <si>
    <t xml:space="preserve">CF-06 (HR Copilot)
CF-07 (dashboard)</t>
  </si>
  <si>
    <t xml:space="preserve">portal/index.html (role-based UI: candidate / employee / HR)</t>
  </si>
  <si>
    <t xml:space="preserve">M6</t>
  </si>
  <si>
    <t xml:space="preserve">QA &amp; Evaluation</t>
  </si>
  <si>
    <t xml:space="preserve">CF-08 (success metrics)</t>
  </si>
  <si>
    <t xml:space="preserve">test_data/ (test resumes)</t>
  </si>
  <si>
    <t xml:space="preserve">Manual-baseline timing study
Demo script
Final report</t>
  </si>
  <si>
    <t xml:space="preserve">How the pieces talk</t>
  </si>
  <si>
    <t xml:space="preserve">Portal -&gt; n8n webhooks (CF-01/05/06/07) -&gt; Postgres functions (cf_*) + Gemini + pgvector. CF-03 (screening) and CF-04 (scheduling) are sub-workflows that the APIs and AI agents call. CF-00 catches every failure. CF-08 proves the success metrics.</t>
  </si>
  <si>
    <t xml:space="preserve">Source: project README - Step 0.1 team split and file map (provided by the team lead).</t>
  </si>
  <si>
    <t xml:space="preserve">Deliverables Tracker - every file and task with its owner</t>
  </si>
  <si>
    <t xml:space="preserve">Owner Name fills in automatically from the Team tab. Use the Status dropdown (yellow) and type a Reviewer for each item.</t>
  </si>
  <si>
    <t xml:space="preserve">#</t>
  </si>
  <si>
    <t xml:space="preserve">Item</t>
  </si>
  <si>
    <t xml:space="preserve">Type</t>
  </si>
  <si>
    <t xml:space="preserve">What it is</t>
  </si>
  <si>
    <t xml:space="preserve">Owner</t>
  </si>
  <si>
    <t xml:space="preserve">Owner Name</t>
  </si>
  <si>
    <t xml:space="preserve">Status</t>
  </si>
  <si>
    <t xml:space="preserve">Reviewer</t>
  </si>
  <si>
    <t xml:space="preserve">CF-00</t>
  </si>
  <si>
    <t xml:space="preserve">n8n workflow</t>
  </si>
  <si>
    <t xml:space="preserve">Error handler - catches every failure</t>
  </si>
  <si>
    <t xml:space="preserve">Not started</t>
  </si>
  <si>
    <t xml:space="preserve">CF-01</t>
  </si>
  <si>
    <t xml:space="preserve">Portal webhook API</t>
  </si>
  <si>
    <t xml:space="preserve">Data &amp; RAG workflow</t>
  </si>
  <si>
    <t xml:space="preserve">CF-03</t>
  </si>
  <si>
    <t xml:space="preserve">Screening sub-workflow (called by APIs &amp; AI agents)</t>
  </si>
  <si>
    <t xml:space="preserve">CF-04</t>
  </si>
  <si>
    <t xml:space="preserve">Scheduling sub-workflow (called by APIs &amp; AI agents)</t>
  </si>
  <si>
    <t xml:space="preserve">CF-05</t>
  </si>
  <si>
    <t xml:space="preserve">Careers + Policy assistants (portal webhook)</t>
  </si>
  <si>
    <t xml:space="preserve">CF-06</t>
  </si>
  <si>
    <t xml:space="preserve">HR Copilot (portal webhook)</t>
  </si>
  <si>
    <t xml:space="preserve">CF-07</t>
  </si>
  <si>
    <t xml:space="preserve">Dashboard (portal webhook)</t>
  </si>
  <si>
    <t xml:space="preserve">CF-08</t>
  </si>
  <si>
    <t xml:space="preserve">Evaluation - proves the success metrics</t>
  </si>
  <si>
    <t xml:space="preserve">database/01_schema.sql</t>
  </si>
  <si>
    <t xml:space="preserve">SQL</t>
  </si>
  <si>
    <t xml:space="preserve">All tables, vector tables, business logic (cf_* functions), audit chain</t>
  </si>
  <si>
    <t xml:space="preserve">database/02_seed.sql</t>
  </si>
  <si>
    <t xml:space="preserve">Seed data</t>
  </si>
  <si>
    <t xml:space="preserve">database/03_eval_seed.sql</t>
  </si>
  <si>
    <t xml:space="preserve">Evaluation seed data</t>
  </si>
  <si>
    <t xml:space="preserve">portal/index.html</t>
  </si>
  <si>
    <t xml:space="preserve">UI</t>
  </si>
  <si>
    <t xml:space="preserve">Role-based UI (candidate / employee / HR)</t>
  </si>
  <si>
    <t xml:space="preserve">knowledge_base/</t>
  </si>
  <si>
    <t xml:space="preserve">Data</t>
  </si>
  <si>
    <t xml:space="preserve">Handbook (RAG source)</t>
  </si>
  <si>
    <t xml:space="preserve">test_data/</t>
  </si>
  <si>
    <t xml:space="preserve">Test resumes</t>
  </si>
  <si>
    <t xml:space="preserve">Doc</t>
  </si>
  <si>
    <t xml:space="preserve">Access-control deliverable</t>
  </si>
  <si>
    <t xml:space="preserve">docs/BIAS_WRITEUP.md</t>
  </si>
  <si>
    <t xml:space="preserve">Bias deliverable</t>
  </si>
  <si>
    <t xml:space="preserve">Scoring rubric</t>
  </si>
  <si>
    <t xml:space="preserve">Task</t>
  </si>
  <si>
    <t xml:space="preserve">Rubric used by the screening engine</t>
  </si>
  <si>
    <t xml:space="preserve">n8n workspace &amp; credentials</t>
  </si>
  <si>
    <t xml:space="preserve">Workspace setup and all credentials</t>
  </si>
  <si>
    <t xml:space="preserve">Deployment hardening</t>
  </si>
  <si>
    <t xml:space="preserve">Secure the deployment</t>
  </si>
  <si>
    <t xml:space="preserve">Supabase setup</t>
  </si>
  <si>
    <t xml:space="preserve">Postgres + pgvector project</t>
  </si>
  <si>
    <t xml:space="preserve">Retrieval tuning</t>
  </si>
  <si>
    <t xml:space="preserve">Tune RAG retrieval quality</t>
  </si>
  <si>
    <t xml:space="preserve">Manual-baseline timing study</t>
  </si>
  <si>
    <t xml:space="preserve">Time the manual process to compare against</t>
  </si>
  <si>
    <t xml:space="preserve">Demo script</t>
  </si>
  <si>
    <t xml:space="preserve">Script for the final demo</t>
  </si>
  <si>
    <t xml:space="preserve">Final report</t>
  </si>
  <si>
    <t xml:space="preserve">Project final report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</si>
</sst>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1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111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33"/>
      </patternFill>
    </fill>
    <fill>
      <patternFill patternType="solid">
        <fgColor rgb="FFFFF2B3"/>
        <bgColor rgb="FFFFFF99"/>
      </patternFill>
    </fill>
    <fill>
      <patternFill patternType="solid">
        <fgColor rgb="FFF5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DEFD6"/>
        </patternFill>
      </fill>
    </dxf>
    <dxf>
      <fill>
        <patternFill>
          <bgColor rgb="FFFFE0B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B3"/>
      <rgbColor rgb="FFF5F7FA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FD6"/>
      <rgbColor rgb="FFFFFF99"/>
      <rgbColor rgb="FF99CCFF"/>
      <rgbColor rgb="FFFF99CC"/>
      <rgbColor rgb="FFCC99FF"/>
      <rgbColor rgb="FFFFE0B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11111"/>
      <rgbColor rgb="FF1F293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9.5" hidden="false" customHeight="true" outlineLevel="0" collapsed="false">
      <c r="A5" s="4" t="s">
        <v>10</v>
      </c>
      <c r="B5" s="5"/>
      <c r="C5" s="6" t="s">
        <v>11</v>
      </c>
      <c r="D5" s="6" t="s">
        <v>12</v>
      </c>
      <c r="E5" s="6" t="s">
        <v>13</v>
      </c>
      <c r="F5" s="6" t="s">
        <v>14</v>
      </c>
      <c r="G5" s="7" t="n">
        <f aca="false">COUNTIF(Deliverables!$E:$E,A5)</f>
        <v>5</v>
      </c>
      <c r="H5" s="7" t="n">
        <f aca="false">COUNTIFS(Deliverables!$E:$E,A5,Deliverables!$G:$G,"Done")</f>
        <v>0</v>
      </c>
    </row>
    <row r="6" customFormat="false" ht="63.75" hidden="false" customHeight="true" outlineLevel="0" collapsed="false">
      <c r="A6" s="8" t="s">
        <v>15</v>
      </c>
      <c r="B6" s="5"/>
      <c r="C6" s="9" t="s">
        <v>16</v>
      </c>
      <c r="D6" s="9" t="s">
        <v>17</v>
      </c>
      <c r="E6" s="9" t="s">
        <v>18</v>
      </c>
      <c r="F6" s="9" t="s">
        <v>19</v>
      </c>
      <c r="G6" s="10" t="n">
        <f aca="false">COUNTIF(Deliverables!$E:$E,A6)</f>
        <v>7</v>
      </c>
      <c r="H6" s="10" t="n">
        <f aca="false">COUNTIFS(Deliverables!$E:$E,A6,Deliverables!$G:$G,"Done")</f>
        <v>0</v>
      </c>
    </row>
    <row r="7" customFormat="false" ht="36" hidden="false" customHeight="true" outlineLevel="0" collapsed="false">
      <c r="A7" s="4" t="s">
        <v>20</v>
      </c>
      <c r="B7" s="5"/>
      <c r="C7" s="6" t="s">
        <v>21</v>
      </c>
      <c r="D7" s="6" t="s">
        <v>22</v>
      </c>
      <c r="E7" s="6" t="s">
        <v>23</v>
      </c>
      <c r="F7" s="6" t="s">
        <v>24</v>
      </c>
      <c r="G7" s="7" t="n">
        <f aca="false">COUNTIF(Deliverables!$E:$E,A7)</f>
        <v>3</v>
      </c>
      <c r="H7" s="7" t="n">
        <f aca="false">COUNTIFS(Deliverables!$E:$E,A7,Deliverables!$G:$G,"Done")</f>
        <v>0</v>
      </c>
    </row>
    <row r="8" customFormat="false" ht="36" hidden="false" customHeight="true" outlineLevel="0" collapsed="false">
      <c r="A8" s="8" t="s">
        <v>25</v>
      </c>
      <c r="B8" s="5"/>
      <c r="C8" s="9" t="s">
        <v>26</v>
      </c>
      <c r="D8" s="9" t="s">
        <v>27</v>
      </c>
      <c r="E8" s="9" t="s">
        <v>24</v>
      </c>
      <c r="F8" s="9" t="s">
        <v>24</v>
      </c>
      <c r="G8" s="10" t="n">
        <f aca="false">COUNTIF(Deliverables!$E:$E,A8)</f>
        <v>2</v>
      </c>
      <c r="H8" s="10" t="n">
        <f aca="false">COUNTIFS(Deliverables!$E:$E,A8,Deliverables!$G:$G,"Done")</f>
        <v>0</v>
      </c>
    </row>
    <row r="9" customFormat="false" ht="36" hidden="false" customHeight="true" outlineLevel="0" collapsed="false">
      <c r="A9" s="4" t="s">
        <v>28</v>
      </c>
      <c r="B9" s="5"/>
      <c r="C9" s="6" t="s">
        <v>29</v>
      </c>
      <c r="D9" s="6" t="s">
        <v>30</v>
      </c>
      <c r="E9" s="6" t="s">
        <v>31</v>
      </c>
      <c r="F9" s="6" t="s">
        <v>24</v>
      </c>
      <c r="G9" s="7" t="n">
        <f aca="false">COUNTIF(Deliverables!$E:$E,A9)</f>
        <v>3</v>
      </c>
      <c r="H9" s="7" t="n">
        <f aca="false">COUNTIFS(Deliverables!$E:$E,A9,Deliverables!$G:$G,"Done")</f>
        <v>0</v>
      </c>
    </row>
    <row r="10" customFormat="false" ht="49.5" hidden="false" customHeight="true" outlineLevel="0" collapsed="false">
      <c r="A10" s="8" t="s">
        <v>32</v>
      </c>
      <c r="B10" s="5"/>
      <c r="C10" s="9" t="s">
        <v>33</v>
      </c>
      <c r="D10" s="9" t="s">
        <v>34</v>
      </c>
      <c r="E10" s="9" t="s">
        <v>35</v>
      </c>
      <c r="F10" s="9" t="s">
        <v>36</v>
      </c>
      <c r="G10" s="10" t="n">
        <f aca="false">COUNTIF(Deliverables!$E:$E,A10)</f>
        <v>5</v>
      </c>
      <c r="H10" s="10" t="n">
        <f aca="false">COUNTIFS(Deliverables!$E:$E,A10,Deliverables!$G:$G,"Done")</f>
        <v>0</v>
      </c>
    </row>
    <row r="12" customFormat="false" ht="15" hidden="false" customHeight="false" outlineLevel="0" collapsed="false">
      <c r="A12" s="11" t="s">
        <v>37</v>
      </c>
    </row>
    <row r="13" customFormat="false" ht="31.5" hidden="false" customHeight="true" outlineLevel="0" collapsed="false">
      <c r="A13" s="12" t="s">
        <v>38</v>
      </c>
      <c r="B13" s="12"/>
      <c r="C13" s="12"/>
      <c r="D13" s="12"/>
      <c r="E13" s="12"/>
      <c r="F13" s="12"/>
      <c r="G13" s="12"/>
      <c r="H13" s="12"/>
    </row>
    <row r="15" customFormat="false" ht="15" hidden="false" customHeight="false" outlineLevel="0" collapsed="false">
      <c r="A15" s="13" t="s">
        <v>39</v>
      </c>
    </row>
  </sheetData>
  <mergeCells count="3">
    <mergeCell ref="A1:H1"/>
    <mergeCell ref="A2:H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52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customFormat="false" ht="18" hidden="false" customHeight="true" outlineLevel="0" collapsed="false">
      <c r="A5" s="7" t="n">
        <v>1</v>
      </c>
      <c r="B5" s="14" t="s">
        <v>50</v>
      </c>
      <c r="C5" s="7" t="s">
        <v>51</v>
      </c>
      <c r="D5" s="6" t="s">
        <v>52</v>
      </c>
      <c r="E5" s="7" t="s">
        <v>10</v>
      </c>
      <c r="F5" s="15" t="str">
        <f aca="false">IFERROR(IF(INDEX(Team!$B$5:$B$10,MATCH(E5,Team!$A$5:$A$10,0))="","(add name in Team tab)",INDEX(Team!$B$5:$B$10,MATCH(E5,Team!$A$5:$A$10,0))),"")</f>
        <v>(add name in Team tab)</v>
      </c>
      <c r="G5" s="16" t="s">
        <v>53</v>
      </c>
      <c r="H5" s="17"/>
    </row>
    <row r="6" customFormat="false" ht="18" hidden="false" customHeight="true" outlineLevel="0" collapsed="false">
      <c r="A6" s="10" t="n">
        <v>2</v>
      </c>
      <c r="B6" s="18" t="s">
        <v>54</v>
      </c>
      <c r="C6" s="10" t="s">
        <v>51</v>
      </c>
      <c r="D6" s="9" t="s">
        <v>55</v>
      </c>
      <c r="E6" s="10" t="s">
        <v>10</v>
      </c>
      <c r="F6" s="19" t="str">
        <f aca="false">IFERROR(IF(INDEX(Team!$B$5:$B$10,MATCH(E6,Team!$A$5:$A$10,0))="","(add name in Team tab)",INDEX(Team!$B$5:$B$10,MATCH(E6,Team!$A$5:$A$10,0))),"")</f>
        <v>(add name in Team tab)</v>
      </c>
      <c r="G6" s="16" t="s">
        <v>53</v>
      </c>
      <c r="H6" s="20"/>
    </row>
    <row r="7" customFormat="false" ht="18" hidden="false" customHeight="true" outlineLevel="0" collapsed="false">
      <c r="A7" s="7" t="n">
        <v>3</v>
      </c>
      <c r="B7" s="14" t="s">
        <v>17</v>
      </c>
      <c r="C7" s="7" t="s">
        <v>51</v>
      </c>
      <c r="D7" s="6" t="s">
        <v>56</v>
      </c>
      <c r="E7" s="7" t="s">
        <v>15</v>
      </c>
      <c r="F7" s="15" t="str">
        <f aca="false">IFERROR(IF(INDEX(Team!$B$5:$B$10,MATCH(E7,Team!$A$5:$A$10,0))="","(add name in Team tab)",INDEX(Team!$B$5:$B$10,MATCH(E7,Team!$A$5:$A$10,0))),"")</f>
        <v>(add name in Team tab)</v>
      </c>
      <c r="G7" s="16" t="s">
        <v>53</v>
      </c>
      <c r="H7" s="17"/>
    </row>
    <row r="8" customFormat="false" ht="30" hidden="false" customHeight="true" outlineLevel="0" collapsed="false">
      <c r="A8" s="10" t="n">
        <v>4</v>
      </c>
      <c r="B8" s="18" t="s">
        <v>57</v>
      </c>
      <c r="C8" s="10" t="s">
        <v>51</v>
      </c>
      <c r="D8" s="9" t="s">
        <v>58</v>
      </c>
      <c r="E8" s="10" t="s">
        <v>20</v>
      </c>
      <c r="F8" s="19" t="str">
        <f aca="false">IFERROR(IF(INDEX(Team!$B$5:$B$10,MATCH(E8,Team!$A$5:$A$10,0))="","(add name in Team tab)",INDEX(Team!$B$5:$B$10,MATCH(E8,Team!$A$5:$A$10,0))),"")</f>
        <v>(add name in Team tab)</v>
      </c>
      <c r="G8" s="16" t="s">
        <v>53</v>
      </c>
      <c r="H8" s="20"/>
    </row>
    <row r="9" customFormat="false" ht="30" hidden="false" customHeight="true" outlineLevel="0" collapsed="false">
      <c r="A9" s="7" t="n">
        <v>5</v>
      </c>
      <c r="B9" s="14" t="s">
        <v>59</v>
      </c>
      <c r="C9" s="7" t="s">
        <v>51</v>
      </c>
      <c r="D9" s="6" t="s">
        <v>60</v>
      </c>
      <c r="E9" s="7" t="s">
        <v>25</v>
      </c>
      <c r="F9" s="15" t="str">
        <f aca="false">IFERROR(IF(INDEX(Team!$B$5:$B$10,MATCH(E9,Team!$A$5:$A$10,0))="","(add name in Team tab)",INDEX(Team!$B$5:$B$10,MATCH(E9,Team!$A$5:$A$10,0))),"")</f>
        <v>(add name in Team tab)</v>
      </c>
      <c r="G9" s="16" t="s">
        <v>53</v>
      </c>
      <c r="H9" s="17"/>
    </row>
    <row r="10" customFormat="false" ht="18" hidden="false" customHeight="true" outlineLevel="0" collapsed="false">
      <c r="A10" s="10" t="n">
        <v>6</v>
      </c>
      <c r="B10" s="18" t="s">
        <v>61</v>
      </c>
      <c r="C10" s="10" t="s">
        <v>51</v>
      </c>
      <c r="D10" s="9" t="s">
        <v>62</v>
      </c>
      <c r="E10" s="10" t="s">
        <v>25</v>
      </c>
      <c r="F10" s="19" t="str">
        <f aca="false">IFERROR(IF(INDEX(Team!$B$5:$B$10,MATCH(E10,Team!$A$5:$A$10,0))="","(add name in Team tab)",INDEX(Team!$B$5:$B$10,MATCH(E10,Team!$A$5:$A$10,0))),"")</f>
        <v>(add name in Team tab)</v>
      </c>
      <c r="G10" s="16" t="s">
        <v>53</v>
      </c>
      <c r="H10" s="20"/>
    </row>
    <row r="11" customFormat="false" ht="18" hidden="false" customHeight="true" outlineLevel="0" collapsed="false">
      <c r="A11" s="7" t="n">
        <v>7</v>
      </c>
      <c r="B11" s="14" t="s">
        <v>63</v>
      </c>
      <c r="C11" s="7" t="s">
        <v>51</v>
      </c>
      <c r="D11" s="6" t="s">
        <v>64</v>
      </c>
      <c r="E11" s="7" t="s">
        <v>28</v>
      </c>
      <c r="F11" s="15" t="str">
        <f aca="false">IFERROR(IF(INDEX(Team!$B$5:$B$10,MATCH(E11,Team!$A$5:$A$10,0))="","(add name in Team tab)",INDEX(Team!$B$5:$B$10,MATCH(E11,Team!$A$5:$A$10,0))),"")</f>
        <v>(add name in Team tab)</v>
      </c>
      <c r="G11" s="16" t="s">
        <v>53</v>
      </c>
      <c r="H11" s="17"/>
    </row>
    <row r="12" customFormat="false" ht="18" hidden="false" customHeight="true" outlineLevel="0" collapsed="false">
      <c r="A12" s="10" t="n">
        <v>8</v>
      </c>
      <c r="B12" s="18" t="s">
        <v>65</v>
      </c>
      <c r="C12" s="10" t="s">
        <v>51</v>
      </c>
      <c r="D12" s="9" t="s">
        <v>66</v>
      </c>
      <c r="E12" s="10" t="s">
        <v>28</v>
      </c>
      <c r="F12" s="19" t="str">
        <f aca="false">IFERROR(IF(INDEX(Team!$B$5:$B$10,MATCH(E12,Team!$A$5:$A$10,0))="","(add name in Team tab)",INDEX(Team!$B$5:$B$10,MATCH(E12,Team!$A$5:$A$10,0))),"")</f>
        <v>(add name in Team tab)</v>
      </c>
      <c r="G12" s="16" t="s">
        <v>53</v>
      </c>
      <c r="H12" s="20"/>
    </row>
    <row r="13" customFormat="false" ht="18" hidden="false" customHeight="true" outlineLevel="0" collapsed="false">
      <c r="A13" s="7" t="n">
        <v>9</v>
      </c>
      <c r="B13" s="14" t="s">
        <v>67</v>
      </c>
      <c r="C13" s="7" t="s">
        <v>51</v>
      </c>
      <c r="D13" s="6" t="s">
        <v>68</v>
      </c>
      <c r="E13" s="7" t="s">
        <v>32</v>
      </c>
      <c r="F13" s="15" t="str">
        <f aca="false">IFERROR(IF(INDEX(Team!$B$5:$B$10,MATCH(E13,Team!$A$5:$A$10,0))="","(add name in Team tab)",INDEX(Team!$B$5:$B$10,MATCH(E13,Team!$A$5:$A$10,0))),"")</f>
        <v>(add name in Team tab)</v>
      </c>
      <c r="G13" s="16" t="s">
        <v>53</v>
      </c>
      <c r="H13" s="17"/>
    </row>
    <row r="14" customFormat="false" ht="30" hidden="false" customHeight="true" outlineLevel="0" collapsed="false">
      <c r="A14" s="10" t="n">
        <v>10</v>
      </c>
      <c r="B14" s="18" t="s">
        <v>69</v>
      </c>
      <c r="C14" s="10" t="s">
        <v>70</v>
      </c>
      <c r="D14" s="9" t="s">
        <v>71</v>
      </c>
      <c r="E14" s="10" t="s">
        <v>15</v>
      </c>
      <c r="F14" s="19" t="str">
        <f aca="false">IFERROR(IF(INDEX(Team!$B$5:$B$10,MATCH(E14,Team!$A$5:$A$10,0))="","(add name in Team tab)",INDEX(Team!$B$5:$B$10,MATCH(E14,Team!$A$5:$A$10,0))),"")</f>
        <v>(add name in Team tab)</v>
      </c>
      <c r="G14" s="16" t="s">
        <v>53</v>
      </c>
      <c r="H14" s="20"/>
    </row>
    <row r="15" customFormat="false" ht="18" hidden="false" customHeight="true" outlineLevel="0" collapsed="false">
      <c r="A15" s="7" t="n">
        <v>11</v>
      </c>
      <c r="B15" s="14" t="s">
        <v>72</v>
      </c>
      <c r="C15" s="7" t="s">
        <v>70</v>
      </c>
      <c r="D15" s="6" t="s">
        <v>73</v>
      </c>
      <c r="E15" s="7" t="s">
        <v>15</v>
      </c>
      <c r="F15" s="15" t="str">
        <f aca="false">IFERROR(IF(INDEX(Team!$B$5:$B$10,MATCH(E15,Team!$A$5:$A$10,0))="","(add name in Team tab)",INDEX(Team!$B$5:$B$10,MATCH(E15,Team!$A$5:$A$10,0))),"")</f>
        <v>(add name in Team tab)</v>
      </c>
      <c r="G15" s="16" t="s">
        <v>53</v>
      </c>
      <c r="H15" s="17"/>
    </row>
    <row r="16" customFormat="false" ht="18" hidden="false" customHeight="true" outlineLevel="0" collapsed="false">
      <c r="A16" s="10" t="n">
        <v>12</v>
      </c>
      <c r="B16" s="18" t="s">
        <v>74</v>
      </c>
      <c r="C16" s="10" t="s">
        <v>70</v>
      </c>
      <c r="D16" s="9" t="s">
        <v>75</v>
      </c>
      <c r="E16" s="10" t="s">
        <v>15</v>
      </c>
      <c r="F16" s="19" t="str">
        <f aca="false">IFERROR(IF(INDEX(Team!$B$5:$B$10,MATCH(E16,Team!$A$5:$A$10,0))="","(add name in Team tab)",INDEX(Team!$B$5:$B$10,MATCH(E16,Team!$A$5:$A$10,0))),"")</f>
        <v>(add name in Team tab)</v>
      </c>
      <c r="G16" s="16" t="s">
        <v>53</v>
      </c>
      <c r="H16" s="20"/>
    </row>
    <row r="17" customFormat="false" ht="18" hidden="false" customHeight="true" outlineLevel="0" collapsed="false">
      <c r="A17" s="7" t="n">
        <v>13</v>
      </c>
      <c r="B17" s="14" t="s">
        <v>76</v>
      </c>
      <c r="C17" s="7" t="s">
        <v>77</v>
      </c>
      <c r="D17" s="6" t="s">
        <v>78</v>
      </c>
      <c r="E17" s="7" t="s">
        <v>28</v>
      </c>
      <c r="F17" s="15" t="str">
        <f aca="false">IFERROR(IF(INDEX(Team!$B$5:$B$10,MATCH(E17,Team!$A$5:$A$10,0))="","(add name in Team tab)",INDEX(Team!$B$5:$B$10,MATCH(E17,Team!$A$5:$A$10,0))),"")</f>
        <v>(add name in Team tab)</v>
      </c>
      <c r="G17" s="16" t="s">
        <v>53</v>
      </c>
      <c r="H17" s="17"/>
    </row>
    <row r="18" customFormat="false" ht="18" hidden="false" customHeight="true" outlineLevel="0" collapsed="false">
      <c r="A18" s="10" t="n">
        <v>14</v>
      </c>
      <c r="B18" s="18" t="s">
        <v>79</v>
      </c>
      <c r="C18" s="10" t="s">
        <v>80</v>
      </c>
      <c r="D18" s="9" t="s">
        <v>81</v>
      </c>
      <c r="E18" s="10" t="s">
        <v>15</v>
      </c>
      <c r="F18" s="19" t="str">
        <f aca="false">IFERROR(IF(INDEX(Team!$B$5:$B$10,MATCH(E18,Team!$A$5:$A$10,0))="","(add name in Team tab)",INDEX(Team!$B$5:$B$10,MATCH(E18,Team!$A$5:$A$10,0))),"")</f>
        <v>(add name in Team tab)</v>
      </c>
      <c r="G18" s="16" t="s">
        <v>53</v>
      </c>
      <c r="H18" s="20"/>
    </row>
    <row r="19" customFormat="false" ht="18" hidden="false" customHeight="true" outlineLevel="0" collapsed="false">
      <c r="A19" s="7" t="n">
        <v>15</v>
      </c>
      <c r="B19" s="14" t="s">
        <v>82</v>
      </c>
      <c r="C19" s="7" t="s">
        <v>80</v>
      </c>
      <c r="D19" s="6" t="s">
        <v>83</v>
      </c>
      <c r="E19" s="7" t="s">
        <v>32</v>
      </c>
      <c r="F19" s="15" t="str">
        <f aca="false">IFERROR(IF(INDEX(Team!$B$5:$B$10,MATCH(E19,Team!$A$5:$A$10,0))="","(add name in Team tab)",INDEX(Team!$B$5:$B$10,MATCH(E19,Team!$A$5:$A$10,0))),"")</f>
        <v>(add name in Team tab)</v>
      </c>
      <c r="G19" s="16" t="s">
        <v>53</v>
      </c>
      <c r="H19" s="17"/>
    </row>
    <row r="20" customFormat="false" ht="18" hidden="false" customHeight="true" outlineLevel="0" collapsed="false">
      <c r="A20" s="10" t="n">
        <v>16</v>
      </c>
      <c r="B20" s="18" t="s">
        <v>13</v>
      </c>
      <c r="C20" s="10" t="s">
        <v>84</v>
      </c>
      <c r="D20" s="9" t="s">
        <v>85</v>
      </c>
      <c r="E20" s="10" t="s">
        <v>10</v>
      </c>
      <c r="F20" s="19" t="str">
        <f aca="false">IFERROR(IF(INDEX(Team!$B$5:$B$10,MATCH(E20,Team!$A$5:$A$10,0))="","(add name in Team tab)",INDEX(Team!$B$5:$B$10,MATCH(E20,Team!$A$5:$A$10,0))),"")</f>
        <v>(add name in Team tab)</v>
      </c>
      <c r="G20" s="16" t="s">
        <v>53</v>
      </c>
      <c r="H20" s="20"/>
    </row>
    <row r="21" customFormat="false" ht="18" hidden="false" customHeight="true" outlineLevel="0" collapsed="false">
      <c r="A21" s="7" t="n">
        <v>17</v>
      </c>
      <c r="B21" s="14" t="s">
        <v>86</v>
      </c>
      <c r="C21" s="7" t="s">
        <v>84</v>
      </c>
      <c r="D21" s="6" t="s">
        <v>87</v>
      </c>
      <c r="E21" s="7" t="s">
        <v>20</v>
      </c>
      <c r="F21" s="15" t="str">
        <f aca="false">IFERROR(IF(INDEX(Team!$B$5:$B$10,MATCH(E21,Team!$A$5:$A$10,0))="","(add name in Team tab)",INDEX(Team!$B$5:$B$10,MATCH(E21,Team!$A$5:$A$10,0))),"")</f>
        <v>(add name in Team tab)</v>
      </c>
      <c r="G21" s="16" t="s">
        <v>53</v>
      </c>
      <c r="H21" s="17"/>
    </row>
    <row r="22" customFormat="false" ht="18" hidden="false" customHeight="true" outlineLevel="0" collapsed="false">
      <c r="A22" s="10" t="n">
        <v>18</v>
      </c>
      <c r="B22" s="18" t="s">
        <v>88</v>
      </c>
      <c r="C22" s="10" t="s">
        <v>89</v>
      </c>
      <c r="D22" s="9" t="s">
        <v>90</v>
      </c>
      <c r="E22" s="10" t="s">
        <v>20</v>
      </c>
      <c r="F22" s="19" t="str">
        <f aca="false">IFERROR(IF(INDEX(Team!$B$5:$B$10,MATCH(E22,Team!$A$5:$A$10,0))="","(add name in Team tab)",INDEX(Team!$B$5:$B$10,MATCH(E22,Team!$A$5:$A$10,0))),"")</f>
        <v>(add name in Team tab)</v>
      </c>
      <c r="G22" s="16" t="s">
        <v>53</v>
      </c>
      <c r="H22" s="20"/>
    </row>
    <row r="23" customFormat="false" ht="18" hidden="false" customHeight="true" outlineLevel="0" collapsed="false">
      <c r="A23" s="7" t="n">
        <v>19</v>
      </c>
      <c r="B23" s="14" t="s">
        <v>91</v>
      </c>
      <c r="C23" s="7" t="s">
        <v>89</v>
      </c>
      <c r="D23" s="6" t="s">
        <v>92</v>
      </c>
      <c r="E23" s="7" t="s">
        <v>10</v>
      </c>
      <c r="F23" s="15" t="str">
        <f aca="false">IFERROR(IF(INDEX(Team!$B$5:$B$10,MATCH(E23,Team!$A$5:$A$10,0))="","(add name in Team tab)",INDEX(Team!$B$5:$B$10,MATCH(E23,Team!$A$5:$A$10,0))),"")</f>
        <v>(add name in Team tab)</v>
      </c>
      <c r="G23" s="16" t="s">
        <v>53</v>
      </c>
      <c r="H23" s="17"/>
    </row>
    <row r="24" customFormat="false" ht="18" hidden="false" customHeight="true" outlineLevel="0" collapsed="false">
      <c r="A24" s="10" t="n">
        <v>20</v>
      </c>
      <c r="B24" s="18" t="s">
        <v>93</v>
      </c>
      <c r="C24" s="10" t="s">
        <v>89</v>
      </c>
      <c r="D24" s="9" t="s">
        <v>94</v>
      </c>
      <c r="E24" s="10" t="s">
        <v>10</v>
      </c>
      <c r="F24" s="19" t="str">
        <f aca="false">IFERROR(IF(INDEX(Team!$B$5:$B$10,MATCH(E24,Team!$A$5:$A$10,0))="","(add name in Team tab)",INDEX(Team!$B$5:$B$10,MATCH(E24,Team!$A$5:$A$10,0))),"")</f>
        <v>(add name in Team tab)</v>
      </c>
      <c r="G24" s="16" t="s">
        <v>53</v>
      </c>
      <c r="H24" s="20"/>
    </row>
    <row r="25" customFormat="false" ht="18" hidden="false" customHeight="true" outlineLevel="0" collapsed="false">
      <c r="A25" s="7" t="n">
        <v>21</v>
      </c>
      <c r="B25" s="14" t="s">
        <v>95</v>
      </c>
      <c r="C25" s="7" t="s">
        <v>89</v>
      </c>
      <c r="D25" s="6" t="s">
        <v>96</v>
      </c>
      <c r="E25" s="7" t="s">
        <v>15</v>
      </c>
      <c r="F25" s="15" t="str">
        <f aca="false">IFERROR(IF(INDEX(Team!$B$5:$B$10,MATCH(E25,Team!$A$5:$A$10,0))="","(add name in Team tab)",INDEX(Team!$B$5:$B$10,MATCH(E25,Team!$A$5:$A$10,0))),"")</f>
        <v>(add name in Team tab)</v>
      </c>
      <c r="G25" s="16" t="s">
        <v>53</v>
      </c>
      <c r="H25" s="17"/>
    </row>
    <row r="26" customFormat="false" ht="18" hidden="false" customHeight="true" outlineLevel="0" collapsed="false">
      <c r="A26" s="10" t="n">
        <v>22</v>
      </c>
      <c r="B26" s="18" t="s">
        <v>97</v>
      </c>
      <c r="C26" s="10" t="s">
        <v>89</v>
      </c>
      <c r="D26" s="9" t="s">
        <v>98</v>
      </c>
      <c r="E26" s="10" t="s">
        <v>15</v>
      </c>
      <c r="F26" s="19" t="str">
        <f aca="false">IFERROR(IF(INDEX(Team!$B$5:$B$10,MATCH(E26,Team!$A$5:$A$10,0))="","(add name in Team tab)",INDEX(Team!$B$5:$B$10,MATCH(E26,Team!$A$5:$A$10,0))),"")</f>
        <v>(add name in Team tab)</v>
      </c>
      <c r="G26" s="16" t="s">
        <v>53</v>
      </c>
      <c r="H26" s="20"/>
    </row>
    <row r="27" customFormat="false" ht="18" hidden="false" customHeight="true" outlineLevel="0" collapsed="false">
      <c r="A27" s="7" t="n">
        <v>23</v>
      </c>
      <c r="B27" s="14" t="s">
        <v>99</v>
      </c>
      <c r="C27" s="7" t="s">
        <v>89</v>
      </c>
      <c r="D27" s="6" t="s">
        <v>100</v>
      </c>
      <c r="E27" s="7" t="s">
        <v>32</v>
      </c>
      <c r="F27" s="15" t="str">
        <f aca="false">IFERROR(IF(INDEX(Team!$B$5:$B$10,MATCH(E27,Team!$A$5:$A$10,0))="","(add name in Team tab)",INDEX(Team!$B$5:$B$10,MATCH(E27,Team!$A$5:$A$10,0))),"")</f>
        <v>(add name in Team tab)</v>
      </c>
      <c r="G27" s="16" t="s">
        <v>53</v>
      </c>
      <c r="H27" s="17"/>
    </row>
    <row r="28" customFormat="false" ht="18" hidden="false" customHeight="true" outlineLevel="0" collapsed="false">
      <c r="A28" s="10" t="n">
        <v>24</v>
      </c>
      <c r="B28" s="18" t="s">
        <v>101</v>
      </c>
      <c r="C28" s="10" t="s">
        <v>89</v>
      </c>
      <c r="D28" s="9" t="s">
        <v>102</v>
      </c>
      <c r="E28" s="10" t="s">
        <v>32</v>
      </c>
      <c r="F28" s="19" t="str">
        <f aca="false">IFERROR(IF(INDEX(Team!$B$5:$B$10,MATCH(E28,Team!$A$5:$A$10,0))="","(add name in Team tab)",INDEX(Team!$B$5:$B$10,MATCH(E28,Team!$A$5:$A$10,0))),"")</f>
        <v>(add name in Team tab)</v>
      </c>
      <c r="G28" s="16" t="s">
        <v>53</v>
      </c>
      <c r="H28" s="20"/>
    </row>
    <row r="29" customFormat="false" ht="18" hidden="false" customHeight="true" outlineLevel="0" collapsed="false">
      <c r="A29" s="7" t="n">
        <v>25</v>
      </c>
      <c r="B29" s="14" t="s">
        <v>103</v>
      </c>
      <c r="C29" s="7" t="s">
        <v>89</v>
      </c>
      <c r="D29" s="6" t="s">
        <v>104</v>
      </c>
      <c r="E29" s="7" t="s">
        <v>32</v>
      </c>
      <c r="F29" s="15" t="str">
        <f aca="false">IFERROR(IF(INDEX(Team!$B$5:$B$10,MATCH(E29,Team!$A$5:$A$10,0))="","(add name in Team tab)",INDEX(Team!$B$5:$B$10,MATCH(E29,Team!$A$5:$A$10,0))),"")</f>
        <v>(add name in Team tab)</v>
      </c>
      <c r="G29" s="16" t="s">
        <v>53</v>
      </c>
      <c r="H29" s="17"/>
    </row>
  </sheetData>
  <autoFilter ref="A4:H29"/>
  <mergeCells count="2">
    <mergeCell ref="A1:H1"/>
    <mergeCell ref="A2:H2"/>
  </mergeCells>
  <conditionalFormatting sqref="G5:G29">
    <cfRule type="expression" priority="2" aboveAverage="0" equalAverage="0" bottom="0" percent="0" rank="0" text="" dxfId="8">
      <formula>$G5="Done"</formula>
    </cfRule>
    <cfRule type="expression" priority="3" aboveAverage="0" equalAverage="0" bottom="0" percent="0" rank="0" text="" dxfId="9">
      <formula>OR($G5="In progress",$G5="In review")</formula>
    </cfRule>
  </conditionalFormatting>
  <dataValidations count="1">
    <dataValidation allowBlank="true" errorStyle="stop" operator="between" showDropDown="false" showErrorMessage="false" showInputMessage="false" sqref="G5:G29" type="list">
      <formula1>"Not started,In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2026-10-24T15:53:41Z</dcterms:created>
  <dc:creator>openpyxl</dc:creator>
  <dc:description/>
  <dc:language>en-US</dc:language>
  <cp:lastModifiedBy/>
  <dcterms:modified xsi:type="dcterms:W3CDTF">2026-10-24T15:53:41Z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